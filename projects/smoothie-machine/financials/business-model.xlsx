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Unit Economics" sheetId="2" state="visible" r:id="rId2"/>
    <sheet name="Monthly 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€"/>
    <numFmt numFmtId="165" formatCode="0.0%"/>
    <numFmt numFmtId="166" formatCode="0.0"/>
    <numFmt numFmtId="167" formatCode="0.0&quot; mo&quot;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555555"/>
      <sz val="9"/>
    </font>
    <font>
      <name val="Arial"/>
      <b val="1"/>
      <color rgb="FFFFFFFF"/>
      <sz val="11"/>
    </font>
    <font>
      <name val="Arial"/>
      <color rgb="FF000000"/>
      <sz val="11"/>
    </font>
    <font>
      <name val="Arial"/>
      <color rgb="FF0000FF"/>
      <sz val="11"/>
    </font>
    <font>
      <name val="Arial"/>
      <color rgb="FF555555"/>
      <sz val="9"/>
    </font>
    <font>
      <name val="Arial"/>
      <b val="1"/>
      <color rgb="FF000000"/>
      <sz val="11"/>
    </font>
    <font>
      <name val="Arial"/>
      <i val="1"/>
      <color rgb="FF1F3864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2E5090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165" fontId="4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3" fontId="7" fillId="3" borderId="0" pivotButton="0" quotePrefix="0" xfId="0"/>
    <xf numFmtId="166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3" fontId="4" fillId="5" borderId="0" applyAlignment="1" pivotButton="0" quotePrefix="0" xfId="0">
      <alignment horizontal="right" vertical="center"/>
    </xf>
    <xf numFmtId="164" fontId="4" fillId="5" borderId="0" applyAlignment="1" pivotButton="0" quotePrefix="0" xfId="0">
      <alignment horizontal="right" vertical="center"/>
    </xf>
    <xf numFmtId="167" fontId="7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28" customWidth="1" min="3" max="3"/>
  </cols>
  <sheetData>
    <row r="1" ht="28" customHeight="1">
      <c r="A1" s="1" t="inlineStr">
        <is>
          <t>Smoothie Machine — Business Model Assumptions</t>
        </is>
      </c>
    </row>
    <row r="2">
      <c r="A2" s="2" t="inlineStr">
        <is>
          <t>Blue = input  |  Black = calculated</t>
        </is>
      </c>
    </row>
    <row r="4" ht="20" customHeight="1">
      <c r="A4" s="3" t="inlineStr">
        <is>
          <t>CAPITAL EXPENDITURE (CAPEX)</t>
        </is>
      </c>
    </row>
    <row r="5" ht="16" customHeight="1">
      <c r="A5" s="4" t="inlineStr">
        <is>
          <t>HM-160E machine (landed, DHL)</t>
        </is>
      </c>
      <c r="B5" s="5" t="n">
        <v>4000</v>
      </c>
      <c r="C5" s="6" t="inlineStr">
        <is>
          <t>€ — from Hommy quote 2026-03-12</t>
        </is>
      </c>
    </row>
    <row r="6" ht="16" customHeight="1">
      <c r="A6" s="4" t="inlineStr">
        <is>
          <t>Sealing machine (tabletop)</t>
        </is>
      </c>
      <c r="B6" s="5" t="n">
        <v>250</v>
      </c>
      <c r="C6" s="6" t="inlineStr">
        <is>
          <t>€ — manual cup sealer</t>
        </is>
      </c>
    </row>
    <row r="7" ht="16" customHeight="1">
      <c r="A7" s="4" t="inlineStr">
        <is>
          <t>Mini display fridge (clear door)</t>
        </is>
      </c>
      <c r="B7" s="5" t="n">
        <v>350</v>
      </c>
      <c r="C7" s="6" t="inlineStr">
        <is>
          <t>€ — holds pre-packed cups at venue</t>
        </is>
      </c>
    </row>
    <row r="8" ht="16" customHeight="1">
      <c r="A8" s="4" t="inlineStr">
        <is>
          <t>Branding &amp; signage</t>
        </is>
      </c>
      <c r="B8" s="5" t="n">
        <v>400</v>
      </c>
      <c r="C8" s="6" t="inlineStr">
        <is>
          <t>€ — first location</t>
        </is>
      </c>
    </row>
    <row r="9" ht="16" customHeight="1">
      <c r="A9" s="4" t="inlineStr">
        <is>
          <t>Initial setup / miscellaneous</t>
        </is>
      </c>
      <c r="B9" s="5" t="n">
        <v>150</v>
      </c>
      <c r="C9" s="6" t="inlineStr">
        <is>
          <t>€ — tools, cleaning supplies</t>
        </is>
      </c>
    </row>
    <row r="10" ht="18" customHeight="1">
      <c r="A10" s="7" t="inlineStr">
        <is>
          <t>TOTAL CAPEX</t>
        </is>
      </c>
      <c r="B10" s="8">
        <f>SUM(B5:B9)</f>
        <v/>
      </c>
    </row>
    <row r="12" ht="20" customHeight="1">
      <c r="A12" s="3" t="inlineStr">
        <is>
          <t>VARIABLE COSTS PER CUP</t>
        </is>
      </c>
    </row>
    <row r="13" ht="16" customHeight="1">
      <c r="A13" s="4" t="inlineStr">
        <is>
          <t>Frozen fruit mix (250g @ €3.20/kg)</t>
        </is>
      </c>
      <c r="B13" s="5" t="n">
        <v>0.8</v>
      </c>
      <c r="C13" s="6" t="inlineStr">
        <is>
          <t>€ — Makro Portugal, frozen blend</t>
        </is>
      </c>
    </row>
    <row r="14" ht="16" customHeight="1">
      <c r="A14" s="4" t="inlineStr">
        <is>
          <t>Cup + lid (PLA, Vegware)</t>
        </is>
      </c>
      <c r="B14" s="5" t="n">
        <v>0.31</v>
      </c>
      <c r="C14" s="6" t="inlineStr">
        <is>
          <t>€ — 500 units @ €0.31/unit</t>
        </is>
      </c>
    </row>
    <row r="15" ht="16" customHeight="1">
      <c r="A15" s="4" t="inlineStr">
        <is>
          <t>Label / packaging print</t>
        </is>
      </c>
      <c r="B15" s="5" t="n">
        <v>0.05</v>
      </c>
      <c r="C15" s="6" t="inlineStr">
        <is>
          <t>€ — custom sticker per cup</t>
        </is>
      </c>
    </row>
    <row r="16" ht="16" customHeight="1">
      <c r="A16" s="4" t="inlineStr">
        <is>
          <t>Electricity per cup</t>
        </is>
      </c>
      <c r="B16" s="5" t="n">
        <v>0.05</v>
      </c>
      <c r="C16" s="6" t="inlineStr">
        <is>
          <t>€ — ~0.01 kWh × €0.22/kWh × blends</t>
        </is>
      </c>
    </row>
    <row r="17" ht="16" customHeight="1">
      <c r="A17" s="4" t="inlineStr">
        <is>
          <t>Cleaning supplies (amortised)</t>
        </is>
      </c>
      <c r="B17" s="5" t="n">
        <v>0.03</v>
      </c>
      <c r="C17" s="6" t="inlineStr">
        <is>
          <t>€ — sanitiser, cloths</t>
        </is>
      </c>
    </row>
    <row r="18" ht="18" customHeight="1">
      <c r="A18" s="7" t="inlineStr">
        <is>
          <t>TOTAL COGS per cup</t>
        </is>
      </c>
      <c r="B18" s="8">
        <f>SUM(B13:B17)</f>
        <v/>
      </c>
    </row>
    <row r="20" ht="20" customHeight="1">
      <c r="A20" s="3" t="inlineStr">
        <is>
          <t>PRICING &amp; REVENUE SHARE</t>
        </is>
      </c>
    </row>
    <row r="21" ht="16" customHeight="1">
      <c r="A21" s="4" t="inlineStr">
        <is>
          <t>Selling price per cup</t>
        </is>
      </c>
      <c r="B21" s="5" t="n">
        <v>4</v>
      </c>
      <c r="C21" s="6" t="inlineStr">
        <is>
          <t>€ — target retail price</t>
        </is>
      </c>
    </row>
    <row r="22" ht="16" customHeight="1">
      <c r="A22" s="4" t="inlineStr">
        <is>
          <t>Venue revenue share</t>
        </is>
      </c>
      <c r="B22" s="9" t="n">
        <v>0.1</v>
      </c>
      <c r="C22" s="6" t="inlineStr">
        <is>
          <t>% of revenue paid to venue owner</t>
        </is>
      </c>
    </row>
    <row r="23" ht="16" customHeight="1">
      <c r="A23" s="4" t="inlineStr">
        <is>
          <t>Venue fee per cup (calculated)</t>
        </is>
      </c>
      <c r="B23" s="10">
        <f>B21*B22</f>
        <v/>
      </c>
    </row>
    <row r="25" ht="20" customHeight="1">
      <c r="A25" s="3" t="inlineStr">
        <is>
          <t>FIXED MONTHLY COSTS</t>
        </is>
      </c>
    </row>
    <row r="26" ht="16" customHeight="1">
      <c r="A26" s="4" t="inlineStr">
        <is>
          <t>Machine depreciation (36 months)</t>
        </is>
      </c>
      <c r="B26" s="10">
        <f>B5/36</f>
        <v/>
      </c>
      <c r="C26" s="6" t="inlineStr">
        <is>
          <t>€ — straight-line over 3 years</t>
        </is>
      </c>
    </row>
    <row r="27" ht="16" customHeight="1">
      <c r="A27" s="4" t="inlineStr">
        <is>
          <t>Sealing machine depreciation (36 mo)</t>
        </is>
      </c>
      <c r="B27" s="10">
        <f>B6/36</f>
        <v/>
      </c>
    </row>
    <row r="28" ht="16" customHeight="1">
      <c r="A28" s="4" t="inlineStr">
        <is>
          <t>Regulatory / permits (annual ÷ 12)</t>
        </is>
      </c>
      <c r="B28" s="5" t="n">
        <v>67</v>
      </c>
      <c r="C28" s="6" t="inlineStr">
        <is>
          <t>€ — ASAE + hygiene cert amortised</t>
        </is>
      </c>
    </row>
    <row r="29" ht="16" customHeight="1">
      <c r="A29" s="4" t="inlineStr">
        <is>
          <t>Insurance</t>
        </is>
      </c>
      <c r="B29" s="5" t="n">
        <v>30</v>
      </c>
      <c r="C29" s="6" t="inlineStr">
        <is>
          <t>€ — estimate</t>
        </is>
      </c>
    </row>
    <row r="30" ht="18" customHeight="1">
      <c r="A30" s="7" t="inlineStr">
        <is>
          <t>TOTAL Fixed Costs / month</t>
        </is>
      </c>
      <c r="B30" s="8">
        <f>SUM(B26:B29)</f>
        <v/>
      </c>
    </row>
    <row r="32" ht="20" customHeight="1">
      <c r="A32" s="3" t="inlineStr">
        <is>
          <t>TAXES</t>
        </is>
      </c>
    </row>
    <row r="33" ht="16" customHeight="1">
      <c r="A33" s="4" t="inlineStr">
        <is>
          <t>IRC corporate tax rate</t>
        </is>
      </c>
      <c r="B33" s="9" t="n">
        <v>0.21</v>
      </c>
      <c r="C33" s="6" t="inlineStr">
        <is>
          <t>% — Portugal Lda standard rate (2026)</t>
        </is>
      </c>
    </row>
    <row r="34" ht="16" customHeight="1">
      <c r="A34" s="4" t="inlineStr">
        <is>
          <t>Derrama municipal surcharge</t>
        </is>
      </c>
      <c r="B34" s="9" t="n">
        <v>0.015</v>
      </c>
      <c r="C34" s="6" t="inlineStr">
        <is>
          <t>% — max 1.5%, varies by municipality</t>
        </is>
      </c>
    </row>
    <row r="35" ht="16" customHeight="1">
      <c r="A35" s="11" t="inlineStr">
        <is>
          <t>Effective tax rate (IRC + derrama)</t>
        </is>
      </c>
      <c r="B35" s="12">
        <f>B33+B34</f>
        <v/>
      </c>
    </row>
    <row r="36" ht="14" customHeight="1">
      <c r="A36" s="13" t="inlineStr">
        <is>
          <t>Note: tax applies only on positive profit. Losses carry forward.</t>
        </is>
      </c>
    </row>
    <row r="38">
      <c r="A38" s="14" t="inlineStr">
        <is>
          <t>Blue cells are inputs — adjust freely. All other values update automatically.</t>
        </is>
      </c>
    </row>
  </sheetData>
  <mergeCells count="9">
    <mergeCell ref="A25:C25"/>
    <mergeCell ref="A36:C36"/>
    <mergeCell ref="A1:C1"/>
    <mergeCell ref="A32:C32"/>
    <mergeCell ref="A12:C12"/>
    <mergeCell ref="A4:C4"/>
    <mergeCell ref="A20:C20"/>
    <mergeCell ref="A38:C3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22" customWidth="1" min="3" max="3"/>
  </cols>
  <sheetData>
    <row r="1" ht="28" customHeight="1">
      <c r="A1" s="1" t="inlineStr">
        <is>
          <t>Unit Economics — Per Cup Sold</t>
        </is>
      </c>
    </row>
    <row r="3" ht="20" customHeight="1">
      <c r="A3" s="3" t="inlineStr">
        <is>
          <t>PER-CUP WATERFALL</t>
        </is>
      </c>
    </row>
    <row r="4" ht="16" customHeight="1">
      <c r="A4" s="4" t="inlineStr">
        <is>
          <t>Revenue per cup</t>
        </is>
      </c>
      <c r="B4" s="10">
        <f>Assumptions!B21</f>
        <v/>
      </c>
    </row>
    <row r="5" ht="16" customHeight="1">
      <c r="A5" s="4" t="inlineStr">
        <is>
          <t xml:space="preserve">  (–) Venue fee (10%)</t>
        </is>
      </c>
      <c r="B5" s="10">
        <f>-Assumptions!B23</f>
        <v/>
      </c>
    </row>
    <row r="6" ht="16" customHeight="1">
      <c r="A6" s="4" t="inlineStr">
        <is>
          <t xml:space="preserve">  (–) Frozen fruit</t>
        </is>
      </c>
      <c r="B6" s="10">
        <f>-Assumptions!B13</f>
        <v/>
      </c>
    </row>
    <row r="7" ht="16" customHeight="1">
      <c r="A7" s="4" t="inlineStr">
        <is>
          <t xml:space="preserve">  (–) Cup + lid</t>
        </is>
      </c>
      <c r="B7" s="10">
        <f>-Assumptions!B14</f>
        <v/>
      </c>
    </row>
    <row r="8" ht="16" customHeight="1">
      <c r="A8" s="4" t="inlineStr">
        <is>
          <t xml:space="preserve">  (–) Label</t>
        </is>
      </c>
      <c r="B8" s="10">
        <f>-Assumptions!B15</f>
        <v/>
      </c>
    </row>
    <row r="9" ht="16" customHeight="1">
      <c r="A9" s="4" t="inlineStr">
        <is>
          <t xml:space="preserve">  (–) Electricity</t>
        </is>
      </c>
      <c r="B9" s="10">
        <f>-Assumptions!B16</f>
        <v/>
      </c>
    </row>
    <row r="10" ht="16" customHeight="1">
      <c r="A10" s="4" t="inlineStr">
        <is>
          <t xml:space="preserve">  (–) Cleaning supplies</t>
        </is>
      </c>
      <c r="B10" s="10">
        <f>-Assumptions!B17</f>
        <v/>
      </c>
    </row>
    <row r="11" ht="18" customHeight="1">
      <c r="A11" s="7" t="inlineStr">
        <is>
          <t>CONTRIBUTION MARGIN per cup</t>
        </is>
      </c>
      <c r="B11" s="8">
        <f>Assumptions!B21-Assumptions!B23-Assumptions!B18</f>
        <v/>
      </c>
    </row>
    <row r="12" ht="16" customHeight="1">
      <c r="A12" s="4" t="inlineStr">
        <is>
          <t>Contribution margin %</t>
        </is>
      </c>
      <c r="B12" s="15">
        <f>B11/Assumptions!B21</f>
        <v/>
      </c>
    </row>
    <row r="14" ht="20" customHeight="1">
      <c r="A14" s="3" t="inlineStr">
        <is>
          <t>BREAK-EVEN ANALYSIS</t>
        </is>
      </c>
    </row>
    <row r="15" ht="16" customHeight="1">
      <c r="A15" s="4" t="inlineStr">
        <is>
          <t>Fixed costs per month</t>
        </is>
      </c>
      <c r="B15" s="10">
        <f>Assumptions!B30</f>
        <v/>
      </c>
    </row>
    <row r="16" ht="18" customHeight="1">
      <c r="A16" s="7" t="inlineStr">
        <is>
          <t>Break-even cups / month</t>
        </is>
      </c>
      <c r="B16" s="16">
        <f>CEILING(Assumptions!B30/B11,1)</f>
        <v/>
      </c>
    </row>
    <row r="17" ht="16" customHeight="1">
      <c r="A17" s="4" t="inlineStr">
        <is>
          <t>Break-even cups / day (30-day month)</t>
        </is>
      </c>
      <c r="B17" s="17">
        <f>B16/30</f>
        <v/>
      </c>
    </row>
  </sheetData>
  <mergeCells count="3">
    <mergeCell ref="A1:C1"/>
    <mergeCell ref="A14:C14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Monthly Scenarios — Cups Sold per Month</t>
        </is>
      </c>
    </row>
    <row r="3" ht="20" customHeight="1">
      <c r="A3" t="inlineStr"/>
      <c r="B3" s="18" t="inlineStr">
        <is>
          <t>50 cups/mo</t>
        </is>
      </c>
      <c r="C3" s="18" t="inlineStr">
        <is>
          <t>100 cups/mo</t>
        </is>
      </c>
      <c r="D3" s="18" t="inlineStr">
        <is>
          <t>150 cups/mo</t>
        </is>
      </c>
      <c r="E3" s="18" t="inlineStr">
        <is>
          <t>200 cups/mo</t>
        </is>
      </c>
      <c r="F3" s="18" t="inlineStr">
        <is>
          <t>300 cups/mo</t>
        </is>
      </c>
      <c r="G3" s="18" t="inlineStr">
        <is>
          <t>400 cups/mo</t>
        </is>
      </c>
    </row>
    <row r="4" ht="16" customHeight="1">
      <c r="A4" s="19" t="inlineStr">
        <is>
          <t>Cups / month</t>
        </is>
      </c>
      <c r="B4" s="20" t="n">
        <v>50</v>
      </c>
      <c r="C4" s="20" t="n">
        <v>100</v>
      </c>
      <c r="D4" s="20" t="n">
        <v>150</v>
      </c>
      <c r="E4" s="20" t="n">
        <v>200</v>
      </c>
      <c r="F4" s="20" t="n">
        <v>300</v>
      </c>
      <c r="G4" s="20" t="n">
        <v>400</v>
      </c>
    </row>
    <row r="5" ht="16" customHeight="1">
      <c r="A5" s="19" t="inlineStr">
        <is>
          <t>Revenue</t>
        </is>
      </c>
      <c r="B5" s="21">
        <f>50*Assumptions!B21</f>
        <v/>
      </c>
      <c r="C5" s="21">
        <f>100*Assumptions!B21</f>
        <v/>
      </c>
      <c r="D5" s="21">
        <f>150*Assumptions!B21</f>
        <v/>
      </c>
      <c r="E5" s="21">
        <f>200*Assumptions!B21</f>
        <v/>
      </c>
      <c r="F5" s="21">
        <f>300*Assumptions!B21</f>
        <v/>
      </c>
      <c r="G5" s="21">
        <f>400*Assumptions!B21</f>
        <v/>
      </c>
    </row>
    <row r="6" ht="16" customHeight="1">
      <c r="A6" s="19" t="inlineStr">
        <is>
          <t xml:space="preserve">  (–) Venue fee (10%)</t>
        </is>
      </c>
      <c r="B6" s="21">
        <f>-50*Assumptions!B23</f>
        <v/>
      </c>
      <c r="C6" s="21">
        <f>-100*Assumptions!B23</f>
        <v/>
      </c>
      <c r="D6" s="21">
        <f>-150*Assumptions!B23</f>
        <v/>
      </c>
      <c r="E6" s="21">
        <f>-200*Assumptions!B23</f>
        <v/>
      </c>
      <c r="F6" s="21">
        <f>-300*Assumptions!B23</f>
        <v/>
      </c>
      <c r="G6" s="21">
        <f>-400*Assumptions!B23</f>
        <v/>
      </c>
    </row>
    <row r="7" ht="16" customHeight="1">
      <c r="A7" s="19" t="inlineStr">
        <is>
          <t xml:space="preserve">  (–) COGS (total)</t>
        </is>
      </c>
      <c r="B7" s="21">
        <f>-50*Assumptions!B18</f>
        <v/>
      </c>
      <c r="C7" s="21">
        <f>-100*Assumptions!B18</f>
        <v/>
      </c>
      <c r="D7" s="21">
        <f>-150*Assumptions!B18</f>
        <v/>
      </c>
      <c r="E7" s="21">
        <f>-200*Assumptions!B18</f>
        <v/>
      </c>
      <c r="F7" s="21">
        <f>-300*Assumptions!B18</f>
        <v/>
      </c>
      <c r="G7" s="21">
        <f>-400*Assumptions!B18</f>
        <v/>
      </c>
    </row>
    <row r="8" ht="16" customHeight="1">
      <c r="A8" s="7" t="inlineStr">
        <is>
          <t>Contribution margin</t>
        </is>
      </c>
      <c r="B8" s="8">
        <f>50*'Unit Economics'!B11</f>
        <v/>
      </c>
      <c r="C8" s="8">
        <f>100*'Unit Economics'!B11</f>
        <v/>
      </c>
      <c r="D8" s="8">
        <f>150*'Unit Economics'!B11</f>
        <v/>
      </c>
      <c r="E8" s="8">
        <f>200*'Unit Economics'!B11</f>
        <v/>
      </c>
      <c r="F8" s="8">
        <f>300*'Unit Economics'!B11</f>
        <v/>
      </c>
      <c r="G8" s="8">
        <f>400*'Unit Economics'!B11</f>
        <v/>
      </c>
    </row>
    <row r="9" ht="16" customHeight="1">
      <c r="A9" s="19" t="inlineStr">
        <is>
          <t xml:space="preserve">  (–) Fixed costs</t>
        </is>
      </c>
      <c r="B9" s="21">
        <f>-Assumptions!B30</f>
        <v/>
      </c>
      <c r="C9" s="21">
        <f>-Assumptions!B30</f>
        <v/>
      </c>
      <c r="D9" s="21">
        <f>-Assumptions!B30</f>
        <v/>
      </c>
      <c r="E9" s="21">
        <f>-Assumptions!B30</f>
        <v/>
      </c>
      <c r="F9" s="21">
        <f>-Assumptions!B30</f>
        <v/>
      </c>
      <c r="G9" s="21">
        <f>-Assumptions!B30</f>
        <v/>
      </c>
    </row>
    <row r="10" ht="16" customHeight="1">
      <c r="A10" s="7" t="inlineStr">
        <is>
          <t>NET PROFIT before tax / month</t>
        </is>
      </c>
      <c r="B10" s="8">
        <f>50*'Unit Economics'!B11-Assumptions!B30</f>
        <v/>
      </c>
      <c r="C10" s="8">
        <f>100*'Unit Economics'!B11-Assumptions!B30</f>
        <v/>
      </c>
      <c r="D10" s="8">
        <f>150*'Unit Economics'!B11-Assumptions!B30</f>
        <v/>
      </c>
      <c r="E10" s="8">
        <f>200*'Unit Economics'!B11-Assumptions!B30</f>
        <v/>
      </c>
      <c r="F10" s="8">
        <f>300*'Unit Economics'!B11-Assumptions!B30</f>
        <v/>
      </c>
      <c r="G10" s="8">
        <f>400*'Unit Economics'!B11-Assumptions!B30</f>
        <v/>
      </c>
    </row>
    <row r="11" ht="16" customHeight="1">
      <c r="A11" s="19" t="inlineStr">
        <is>
          <t xml:space="preserve">  (–) IRC + derrama (22.5%)</t>
        </is>
      </c>
      <c r="B11" s="21">
        <f>-MAX(0,50*'Unit Economics'!B11-Assumptions!B30)*Assumptions!B35</f>
        <v/>
      </c>
      <c r="C11" s="21">
        <f>-MAX(0,100*'Unit Economics'!B11-Assumptions!B30)*Assumptions!B35</f>
        <v/>
      </c>
      <c r="D11" s="21">
        <f>-MAX(0,150*'Unit Economics'!B11-Assumptions!B30)*Assumptions!B35</f>
        <v/>
      </c>
      <c r="E11" s="21">
        <f>-MAX(0,200*'Unit Economics'!B11-Assumptions!B30)*Assumptions!B35</f>
        <v/>
      </c>
      <c r="F11" s="21">
        <f>-MAX(0,300*'Unit Economics'!B11-Assumptions!B30)*Assumptions!B35</f>
        <v/>
      </c>
      <c r="G11" s="21">
        <f>-MAX(0,400*'Unit Economics'!B11-Assumptions!B30)*Assumptions!B35</f>
        <v/>
      </c>
    </row>
    <row r="12" ht="16" customHeight="1">
      <c r="A12" s="7" t="inlineStr">
        <is>
          <t>NET PROFIT after tax / month</t>
        </is>
      </c>
      <c r="B12" s="8">
        <f>(50*'Unit Economics'!B11-Assumptions!B30)-MAX(0,50*'Unit Economics'!B11-Assumptions!B30)*Assumptions!B35</f>
        <v/>
      </c>
      <c r="C12" s="8">
        <f>(100*'Unit Economics'!B11-Assumptions!B30)-MAX(0,100*'Unit Economics'!B11-Assumptions!B30)*Assumptions!B35</f>
        <v/>
      </c>
      <c r="D12" s="8">
        <f>(150*'Unit Economics'!B11-Assumptions!B30)-MAX(0,150*'Unit Economics'!B11-Assumptions!B30)*Assumptions!B35</f>
        <v/>
      </c>
      <c r="E12" s="8">
        <f>(200*'Unit Economics'!B11-Assumptions!B30)-MAX(0,200*'Unit Economics'!B11-Assumptions!B30)*Assumptions!B35</f>
        <v/>
      </c>
      <c r="F12" s="8">
        <f>(300*'Unit Economics'!B11-Assumptions!B30)-MAX(0,300*'Unit Economics'!B11-Assumptions!B30)*Assumptions!B35</f>
        <v/>
      </c>
      <c r="G12" s="8">
        <f>(400*'Unit Economics'!B11-Assumptions!B30)-MAX(0,400*'Unit Economics'!B11-Assumptions!B30)*Assumptions!B35</f>
        <v/>
      </c>
    </row>
    <row r="13" ht="16" customHeight="1">
      <c r="A13" s="7" t="inlineStr">
        <is>
          <t>NET PROFIT after tax / year</t>
        </is>
      </c>
      <c r="B13" s="8">
        <f>((50*'Unit Economics'!B11-Assumptions!B30)-MAX(0,50*'Unit Economics'!B11-Assumptions!B30)*Assumptions!B35)*12</f>
        <v/>
      </c>
      <c r="C13" s="8">
        <f>((100*'Unit Economics'!B11-Assumptions!B30)-MAX(0,100*'Unit Economics'!B11-Assumptions!B30)*Assumptions!B35)*12</f>
        <v/>
      </c>
      <c r="D13" s="8">
        <f>((150*'Unit Economics'!B11-Assumptions!B30)-MAX(0,150*'Unit Economics'!B11-Assumptions!B30)*Assumptions!B35)*12</f>
        <v/>
      </c>
      <c r="E13" s="8">
        <f>((200*'Unit Economics'!B11-Assumptions!B30)-MAX(0,200*'Unit Economics'!B11-Assumptions!B30)*Assumptions!B35)*12</f>
        <v/>
      </c>
      <c r="F13" s="8">
        <f>((300*'Unit Economics'!B11-Assumptions!B30)-MAX(0,300*'Unit Economics'!B11-Assumptions!B30)*Assumptions!B35)*12</f>
        <v/>
      </c>
      <c r="G13" s="8">
        <f>((400*'Unit Economics'!B11-Assumptions!B30)-MAX(0,400*'Unit Economics'!B11-Assumptions!B30)*Assumptions!B35)*12</f>
        <v/>
      </c>
    </row>
    <row r="14" ht="16" customHeight="1">
      <c r="A14" s="7" t="inlineStr">
        <is>
          <t>Payback — total CAPEX (months)</t>
        </is>
      </c>
      <c r="B14" s="22">
        <f>IF(50*'Unit Economics'!B11&gt;Assumptions!B30,Assumptions!B10/(50*'Unit Economics'!B11-Assumptions!B30),"-")</f>
        <v/>
      </c>
      <c r="C14" s="22">
        <f>IF(100*'Unit Economics'!B11&gt;Assumptions!B30,Assumptions!B10/(100*'Unit Economics'!B11-Assumptions!B30),"-")</f>
        <v/>
      </c>
      <c r="D14" s="22">
        <f>IF(150*'Unit Economics'!B11&gt;Assumptions!B30,Assumptions!B10/(150*'Unit Economics'!B11-Assumptions!B30),"-")</f>
        <v/>
      </c>
      <c r="E14" s="22">
        <f>IF(200*'Unit Economics'!B11&gt;Assumptions!B30,Assumptions!B10/(200*'Unit Economics'!B11-Assumptions!B30),"-")</f>
        <v/>
      </c>
      <c r="F14" s="22">
        <f>IF(300*'Unit Economics'!B11&gt;Assumptions!B30,Assumptions!B10/(300*'Unit Economics'!B11-Assumptions!B30),"-")</f>
        <v/>
      </c>
      <c r="G14" s="22">
        <f>IF(400*'Unit Economics'!B11&gt;Assumptions!B30,Assumptions!B10/(400*'Unit Economics'!B11-Assumptions!B30),"-")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2026-03-13T19:32:28Z</dcterms:created>
  <dcterms:modified xsi:type="dcterms:W3CDTF">2026-03-13T19:32:28Z</dcterms:modified>
</cp:coreProperties>
</file>